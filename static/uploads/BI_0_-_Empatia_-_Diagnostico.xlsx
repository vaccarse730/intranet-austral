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3a23808717fd08/Documents/Austral BI/"/>
    </mc:Choice>
  </mc:AlternateContent>
  <xr:revisionPtr revIDLastSave="242" documentId="13_ncr:1_{BD8FE60C-848C-4278-B33F-03846DFA5A14}" xr6:coauthVersionLast="47" xr6:coauthVersionMax="47" xr10:uidLastSave="{BB556D74-7B7D-47B4-9052-E3A77B2A3496}"/>
  <bookViews>
    <workbookView xWindow="-120" yWindow="-120" windowWidth="20730" windowHeight="11040" activeTab="2" xr2:uid="{196B7061-CAC8-44CB-8E47-62A0138B0F1F}"/>
  </bookViews>
  <sheets>
    <sheet name="Tech" sheetId="3" r:id="rId1"/>
    <sheet name="Etapa 1" sheetId="1" r:id="rId2"/>
    <sheet name="Etapa 2" sheetId="2" r:id="rId3"/>
  </sheets>
  <definedNames>
    <definedName name="_xlnm._FilterDatabase" localSheetId="1" hidden="1">'Etapa 1'!$A$3:$I$3</definedName>
    <definedName name="_xlnm._FilterDatabase" localSheetId="2" hidden="1">'Etapa 2'!$A$5:$P$5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tc={5E2580A3-B573-480F-B132-8F532D9FBC63}</author>
  </authors>
  <commentList>
    <comment ref="F6" authorId="0" shapeId="0" xr:uid="{5E2580A3-B573-480F-B132-8F532D9FBC63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Detallar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tc={C397DA03-B481-46FB-9A99-F1755EC0E08A}</author>
  </authors>
  <commentList>
    <comment ref="B3" authorId="0" shapeId="0" xr:uid="{C397DA03-B481-46FB-9A99-F1755EC0E08A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Aquí se evalúa que tan alineados estamos con la visión de la empresa</t>
      </text>
    </comment>
  </commentList>
</comments>
</file>

<file path=xl/sharedStrings.xml><?xml version="1.0" encoding="utf-8"?>
<sst xmlns="http://schemas.openxmlformats.org/spreadsheetml/2006/main" count="135" uniqueCount="88">
  <si>
    <t>Área</t>
  </si>
  <si>
    <t>Issues</t>
  </si>
  <si>
    <t>Owner</t>
  </si>
  <si>
    <t>Dpto</t>
  </si>
  <si>
    <t>Carga Emocional</t>
  </si>
  <si>
    <t>Carga Operativa</t>
  </si>
  <si>
    <t>Admin</t>
  </si>
  <si>
    <t>Monse</t>
  </si>
  <si>
    <t>Descripcion del Issue</t>
  </si>
  <si>
    <t>Finanzas - Ctas Ctes</t>
  </si>
  <si>
    <t>Task</t>
  </si>
  <si>
    <t>Pago a proveedores</t>
  </si>
  <si>
    <t>Diferencias acumuladas, pagos superiores al flujo, Repercuciones en Asientos</t>
  </si>
  <si>
    <t>Alta</t>
  </si>
  <si>
    <t>Multitasking</t>
  </si>
  <si>
    <t>Karla</t>
  </si>
  <si>
    <t>Logistica - Admin</t>
  </si>
  <si>
    <t>Superposición de tareas logisticas (Compras, mantenimiento, etc) a las tareas Administrativas (Apoyo a monse con files, invoices, pagos y facturación)</t>
  </si>
  <si>
    <t>Tareas administrativas</t>
  </si>
  <si>
    <t>Media</t>
  </si>
  <si>
    <t>Indicadores financieros</t>
  </si>
  <si>
    <t>Finanzas - Contabilidad</t>
  </si>
  <si>
    <t>Reporte y control de indicadores financieros</t>
  </si>
  <si>
    <t>Falta de tiempo para la construccion de reportes para el seguimiento de indicadores financieros esenciales</t>
  </si>
  <si>
    <t>Tipo de cambio</t>
  </si>
  <si>
    <t>Admin - Facturación</t>
  </si>
  <si>
    <t>convesion a dolares para facturación de pagos en pesos</t>
  </si>
  <si>
    <t>Ventas</t>
  </si>
  <si>
    <t>Pagos</t>
  </si>
  <si>
    <t>Construcción de itinerarios</t>
  </si>
  <si>
    <t>Todos</t>
  </si>
  <si>
    <t>Extensión de la gestión del vendedor en el proceso de pagos y facturación. Cuesta desprenderse de la venta incluso cuando ya fue cerrada y facturada. Falla de comunicación y desorden en nodos</t>
  </si>
  <si>
    <t>Proceso de construcción de itinerarios</t>
  </si>
  <si>
    <t>en alta, los itinerarios suelen aumentar en volumen y complejidad superponiendo gestiones</t>
  </si>
  <si>
    <t>Baja</t>
  </si>
  <si>
    <t>AltaAlta</t>
  </si>
  <si>
    <t>AltaMedia</t>
  </si>
  <si>
    <t>MediaAlta</t>
  </si>
  <si>
    <t>AltaBaja</t>
  </si>
  <si>
    <t>MediaMedia</t>
  </si>
  <si>
    <t>BajaAlta</t>
  </si>
  <si>
    <t>MediaBaja</t>
  </si>
  <si>
    <t>BajaMedia</t>
  </si>
  <si>
    <t>BajaBaja</t>
  </si>
  <si>
    <t>Tabla de clasificación de prioridades</t>
  </si>
  <si>
    <t>Clasif.</t>
  </si>
  <si>
    <t>Proceso sensible a generar diferencias  carga operaiva  significativa</t>
  </si>
  <si>
    <t>AUSTRAL</t>
  </si>
  <si>
    <t>¿Qué es Austral? ¿A qué se dedica?</t>
  </si>
  <si>
    <t>¿Cuál es el propósito de Austral?</t>
  </si>
  <si>
    <t>¿Qué le aporta Austral al mundo?</t>
  </si>
  <si>
    <t>PERSONAL</t>
  </si>
  <si>
    <t>PROFESIONAL</t>
  </si>
  <si>
    <t>¿Qué debería hacer Austral para seguir creciendo? ¿Cuál es el próximo paso?</t>
  </si>
  <si>
    <t>¿En qué te gustaría desarrollarte en Austral?</t>
  </si>
  <si>
    <t>¿Cómo te gustaría que fuera la versión evolucionada de Austral y que te ves haciendo para conseguirlo?</t>
  </si>
  <si>
    <t>Tabla Preguntas E2</t>
  </si>
  <si>
    <t>ID_Quest</t>
  </si>
  <si>
    <t>Quest_Desc</t>
  </si>
  <si>
    <t>Typ_Quest</t>
  </si>
  <si>
    <t>1AUS</t>
  </si>
  <si>
    <t>1PER</t>
  </si>
  <si>
    <t>1PRO</t>
  </si>
  <si>
    <t>2AUS</t>
  </si>
  <si>
    <t>2PER</t>
  </si>
  <si>
    <t>2PRO</t>
  </si>
  <si>
    <t>3AUS</t>
  </si>
  <si>
    <t>3PER</t>
  </si>
  <si>
    <t>3PRO</t>
  </si>
  <si>
    <t>USER</t>
  </si>
  <si>
    <t>Tabla Users</t>
  </si>
  <si>
    <t>ID_USR</t>
  </si>
  <si>
    <t>USR_NAME</t>
  </si>
  <si>
    <t>Leo</t>
  </si>
  <si>
    <t>Lou</t>
  </si>
  <si>
    <t>Clau</t>
  </si>
  <si>
    <t>Diagnóstico Etapa 1 - Resultados</t>
  </si>
  <si>
    <t>Diagnóstico Etapa 2 - Resultados</t>
  </si>
  <si>
    <t>Magistrar</t>
  </si>
  <si>
    <t>Que le podría aportar Austral al mundo?</t>
  </si>
  <si>
    <t>Qué es lo que más te gusta de tu trabajo en Austral?</t>
  </si>
  <si>
    <t>Dime 3 aspectos de ti que crees que se valoran mucho en Austral y que hacen que tu rol sea muy valorable.</t>
  </si>
  <si>
    <t>Dime 3 aspectos de ti que te gustarían que desaparezcan, mejoren o se transformen en algo distinto</t>
  </si>
  <si>
    <t>4AUS</t>
  </si>
  <si>
    <t>¿Qué se pierde el mundo sin Austral?</t>
  </si>
  <si>
    <t>¿Cuál es el próximo paso de Austral para seguir creciendo?</t>
  </si>
  <si>
    <t>¿Cómo te imaginas a Austral en el 2040,  te gusta?</t>
  </si>
  <si>
    <t>¿Te ves ahi? ¿Como?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</si>
</sst>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i/>
      <sz val="10"/>
      <color theme="0"/>
      <name val="Calibri"/>
      <family val="2"/>
    </font>
    <font>
      <b/>
      <i/>
      <sz val="10"/>
      <color theme="1"/>
      <name val="Calibri"/>
      <family val="2"/>
    </font>
    <font>
      <b/>
      <sz val="16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6" borderId="0" xfId="0" applyFill="1"/>
    <xf numFmtId="0" fontId="4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4" borderId="0" xfId="0" applyFont="1" applyFill="1"/>
    <xf numFmtId="0" fontId="4" fillId="5" borderId="0" xfId="0" applyFont="1" applyFill="1"/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6" borderId="0" xfId="0" applyFont="1" applyFill="1"/>
    <xf numFmtId="0" fontId="11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E1E5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DE89B"/>
      <color rgb="FFFFFF99"/>
      <color rgb="FFFFE1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bastian Vaccaro" id="{A98463FB-AE85-4C9A-BB82-2670FF98CC15}" userId="1c3a23808717fd08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6-09-14T21:45:38.08" personId="{A98463FB-AE85-4C9A-BB82-2670FF98CC15}" id="{5E2580A3-B573-480F-B132-8F532D9FBC63}">
    <text>Detallar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6-09-14T21:42:14.46" personId="{A98463FB-AE85-4C9A-BB82-2670FF98CC15}" id="{C397DA03-B481-46FB-9A99-F1755EC0E08A}">
    <text>Aquí se evalúa que tan alineados estamos con la visión de la empresa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7044-7C37-493E-9A00-02F9737E90EC}">
  <dimension ref="A1:F16"/>
  <sheetViews>
    <sheetView showGridLines="0" workbookViewId="0">
      <selection activeCell="E22" sqref="E22"/>
    </sheetView>
  </sheetViews>
  <sheetFormatPr baseColWidth="10" defaultRowHeight="12" x14ac:dyDescent="0.2"/>
  <cols>
    <col min="1" max="1" width="11.42578125" style="11"/>
    <col min="2" max="2" width="32.140625" style="11" customWidth="1"/>
    <col min="3" max="3" width="11.42578125" style="11"/>
    <col min="4" max="4" width="2.85546875" style="11" customWidth="1"/>
    <col min="5" max="16384" width="11.42578125" style="11"/>
  </cols>
  <sheetData>
    <row r="1" spans="1:6" s="13" customFormat="1" ht="15.75" customHeight="1" x14ac:dyDescent="0.25">
      <c r="A1" s="13" t="s">
        <v>56</v>
      </c>
      <c r="E1" s="13" t="s">
        <v>70</v>
      </c>
    </row>
    <row r="3" spans="1:6" x14ac:dyDescent="0.2">
      <c r="A3" s="12" t="s">
        <v>57</v>
      </c>
      <c r="B3" s="12" t="s">
        <v>58</v>
      </c>
      <c r="C3" s="12" t="s">
        <v>59</v>
      </c>
      <c r="E3" s="12" t="s">
        <v>71</v>
      </c>
      <c r="F3" s="12" t="s">
        <v>72</v>
      </c>
    </row>
    <row r="4" spans="1:6" x14ac:dyDescent="0.2">
      <c r="A4" s="11" t="s">
        <v>60</v>
      </c>
      <c r="B4" s="11" t="s">
        <v>48</v>
      </c>
      <c r="C4" s="11" t="s">
        <v>47</v>
      </c>
      <c r="E4" s="11">
        <v>1</v>
      </c>
      <c r="F4" s="11" t="s">
        <v>7</v>
      </c>
    </row>
    <row r="5" spans="1:6" x14ac:dyDescent="0.2">
      <c r="A5" s="11" t="s">
        <v>63</v>
      </c>
      <c r="B5" s="11" t="s">
        <v>49</v>
      </c>
      <c r="C5" s="11" t="s">
        <v>47</v>
      </c>
      <c r="E5" s="11">
        <v>2</v>
      </c>
      <c r="F5" s="11" t="s">
        <v>15</v>
      </c>
    </row>
    <row r="6" spans="1:6" x14ac:dyDescent="0.2">
      <c r="A6" s="11" t="s">
        <v>66</v>
      </c>
      <c r="B6" s="11" t="s">
        <v>50</v>
      </c>
      <c r="C6" s="11" t="s">
        <v>47</v>
      </c>
      <c r="E6" s="11">
        <v>3</v>
      </c>
      <c r="F6" s="11" t="s">
        <v>73</v>
      </c>
    </row>
    <row r="7" spans="1:6" x14ac:dyDescent="0.2">
      <c r="A7" s="11" t="s">
        <v>83</v>
      </c>
      <c r="B7" s="11" t="s">
        <v>79</v>
      </c>
      <c r="C7" s="11" t="s">
        <v>47</v>
      </c>
      <c r="E7" s="11">
        <v>4</v>
      </c>
      <c r="F7" s="11" t="s">
        <v>74</v>
      </c>
    </row>
    <row r="8" spans="1:6" x14ac:dyDescent="0.2">
      <c r="A8" s="11" t="s">
        <v>61</v>
      </c>
      <c r="B8" s="11" t="s">
        <v>80</v>
      </c>
      <c r="C8" s="11" t="s">
        <v>51</v>
      </c>
      <c r="E8" s="11">
        <v>5</v>
      </c>
      <c r="F8" s="11" t="s">
        <v>75</v>
      </c>
    </row>
    <row r="9" spans="1:6" x14ac:dyDescent="0.2">
      <c r="A9" s="11" t="s">
        <v>64</v>
      </c>
      <c r="B9" s="11" t="s">
        <v>81</v>
      </c>
      <c r="C9" s="11" t="s">
        <v>51</v>
      </c>
      <c r="E9" s="11">
        <v>6</v>
      </c>
    </row>
    <row r="10" spans="1:6" x14ac:dyDescent="0.2">
      <c r="A10" s="11" t="s">
        <v>67</v>
      </c>
      <c r="B10" s="11" t="s">
        <v>82</v>
      </c>
      <c r="C10" s="11" t="s">
        <v>51</v>
      </c>
      <c r="E10" s="11">
        <v>7</v>
      </c>
    </row>
    <row r="11" spans="1:6" x14ac:dyDescent="0.2">
      <c r="A11" s="11" t="s">
        <v>62</v>
      </c>
      <c r="B11" s="11" t="s">
        <v>53</v>
      </c>
      <c r="C11" s="11" t="s">
        <v>52</v>
      </c>
      <c r="E11" s="11">
        <v>8</v>
      </c>
    </row>
    <row r="12" spans="1:6" x14ac:dyDescent="0.2">
      <c r="A12" s="11" t="s">
        <v>65</v>
      </c>
      <c r="B12" s="11" t="s">
        <v>54</v>
      </c>
      <c r="C12" s="11" t="s">
        <v>52</v>
      </c>
      <c r="E12" s="11">
        <v>9</v>
      </c>
    </row>
    <row r="13" spans="1:6" x14ac:dyDescent="0.2">
      <c r="A13" s="11" t="s">
        <v>68</v>
      </c>
      <c r="B13" s="11" t="s">
        <v>55</v>
      </c>
      <c r="C13" s="11" t="s">
        <v>52</v>
      </c>
      <c r="E13" s="11">
        <v>10</v>
      </c>
    </row>
    <row r="14" spans="1:6" x14ac:dyDescent="0.2">
      <c r="E14" s="11">
        <v>11</v>
      </c>
    </row>
    <row r="15" spans="1:6" x14ac:dyDescent="0.2">
      <c r="E15" s="11">
        <v>12</v>
      </c>
    </row>
    <row r="16" spans="1:6" x14ac:dyDescent="0.2">
      <c r="E16" s="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3AB7E-74CD-4835-90C1-1C17B2900211}">
  <dimension ref="A1:M10"/>
  <sheetViews>
    <sheetView showGridLines="0" topLeftCell="A2" workbookViewId="0">
      <selection activeCell="C12" sqref="C12"/>
    </sheetView>
  </sheetViews>
  <sheetFormatPr baseColWidth="10" defaultRowHeight="15" x14ac:dyDescent="0.25"/>
  <cols>
    <col min="1" max="1" width="7" style="5" bestFit="1" customWidth="1"/>
    <col min="2" max="2" width="6.85546875" style="5" bestFit="1" customWidth="1"/>
    <col min="3" max="3" width="18.5703125" style="5" bestFit="1" customWidth="1"/>
    <col min="4" max="4" width="24.28515625" style="5" customWidth="1"/>
    <col min="5" max="5" width="14.85546875" style="5" customWidth="1"/>
    <col min="6" max="6" width="63.85546875" style="5" customWidth="1"/>
    <col min="7" max="7" width="10.85546875" style="5" customWidth="1"/>
    <col min="8" max="8" width="10.7109375" style="5" customWidth="1"/>
    <col min="9" max="9" width="6.5703125" style="5" bestFit="1" customWidth="1"/>
    <col min="13" max="13" width="1.85546875" bestFit="1" customWidth="1"/>
  </cols>
  <sheetData>
    <row r="1" spans="1:13" s="15" customFormat="1" ht="33.75" customHeight="1" x14ac:dyDescent="0.25">
      <c r="A1" s="14" t="s">
        <v>76</v>
      </c>
      <c r="B1" s="14"/>
      <c r="C1" s="14"/>
      <c r="D1" s="14"/>
      <c r="E1" s="14"/>
      <c r="F1" s="14"/>
      <c r="G1" s="14"/>
      <c r="H1" s="14"/>
      <c r="I1" s="14"/>
      <c r="L1" s="3" t="s">
        <v>44</v>
      </c>
      <c r="M1" s="4"/>
    </row>
    <row r="2" spans="1:13" x14ac:dyDescent="0.25">
      <c r="L2" s="4" t="s">
        <v>35</v>
      </c>
      <c r="M2" s="4">
        <v>1</v>
      </c>
    </row>
    <row r="3" spans="1:13" s="2" customFormat="1" ht="39" customHeight="1" x14ac:dyDescent="0.25">
      <c r="A3" s="7" t="s">
        <v>0</v>
      </c>
      <c r="B3" s="7" t="s">
        <v>2</v>
      </c>
      <c r="C3" s="7" t="s">
        <v>3</v>
      </c>
      <c r="D3" s="7" t="s">
        <v>10</v>
      </c>
      <c r="E3" s="7" t="s">
        <v>1</v>
      </c>
      <c r="F3" s="7" t="s">
        <v>8</v>
      </c>
      <c r="G3" s="7" t="s">
        <v>4</v>
      </c>
      <c r="H3" s="7" t="s">
        <v>5</v>
      </c>
      <c r="I3" s="7" t="s">
        <v>45</v>
      </c>
      <c r="L3" s="4" t="s">
        <v>36</v>
      </c>
      <c r="M3" s="4">
        <v>2</v>
      </c>
    </row>
    <row r="4" spans="1:13" s="2" customFormat="1" ht="30" x14ac:dyDescent="0.25">
      <c r="A4" s="6" t="s">
        <v>6</v>
      </c>
      <c r="B4" s="6" t="s">
        <v>7</v>
      </c>
      <c r="C4" s="6" t="s">
        <v>9</v>
      </c>
      <c r="D4" s="6" t="s">
        <v>11</v>
      </c>
      <c r="E4" s="6" t="s">
        <v>78</v>
      </c>
      <c r="F4" s="6" t="s">
        <v>12</v>
      </c>
      <c r="G4" s="6" t="s">
        <v>13</v>
      </c>
      <c r="H4" s="6" t="s">
        <v>13</v>
      </c>
      <c r="I4" s="6">
        <f t="shared" ref="I4:I9" si="0">VLOOKUP((G4&amp;H4),$L$2:$M$10,2,0)</f>
        <v>1</v>
      </c>
      <c r="L4" s="4" t="s">
        <v>37</v>
      </c>
      <c r="M4" s="4">
        <v>3</v>
      </c>
    </row>
    <row r="5" spans="1:13" s="2" customFormat="1" ht="45" x14ac:dyDescent="0.25">
      <c r="A5" s="8" t="s">
        <v>6</v>
      </c>
      <c r="B5" s="8" t="s">
        <v>15</v>
      </c>
      <c r="C5" s="8" t="s">
        <v>16</v>
      </c>
      <c r="D5" s="8" t="s">
        <v>18</v>
      </c>
      <c r="E5" s="8" t="s">
        <v>14</v>
      </c>
      <c r="F5" s="8" t="s">
        <v>17</v>
      </c>
      <c r="G5" s="6" t="s">
        <v>19</v>
      </c>
      <c r="H5" s="6" t="s">
        <v>13</v>
      </c>
      <c r="I5" s="6">
        <f t="shared" si="0"/>
        <v>3</v>
      </c>
      <c r="L5" s="4" t="s">
        <v>38</v>
      </c>
      <c r="M5" s="4">
        <v>4</v>
      </c>
    </row>
    <row r="6" spans="1:13" s="2" customFormat="1" ht="30" x14ac:dyDescent="0.25">
      <c r="A6" s="6" t="s">
        <v>6</v>
      </c>
      <c r="B6" s="6" t="s">
        <v>7</v>
      </c>
      <c r="C6" s="6" t="s">
        <v>21</v>
      </c>
      <c r="D6" s="6" t="s">
        <v>22</v>
      </c>
      <c r="E6" s="6" t="s">
        <v>20</v>
      </c>
      <c r="F6" s="6" t="s">
        <v>23</v>
      </c>
      <c r="G6" s="6" t="s">
        <v>13</v>
      </c>
      <c r="H6" s="6" t="s">
        <v>19</v>
      </c>
      <c r="I6" s="6">
        <f t="shared" si="0"/>
        <v>2</v>
      </c>
      <c r="L6" s="4" t="s">
        <v>39</v>
      </c>
      <c r="M6" s="4">
        <v>5</v>
      </c>
    </row>
    <row r="7" spans="1:13" s="2" customFormat="1" ht="45" x14ac:dyDescent="0.25">
      <c r="A7" s="8" t="s">
        <v>6</v>
      </c>
      <c r="B7" s="8" t="s">
        <v>7</v>
      </c>
      <c r="C7" s="8" t="s">
        <v>25</v>
      </c>
      <c r="D7" s="8" t="s">
        <v>26</v>
      </c>
      <c r="E7" s="8" t="s">
        <v>24</v>
      </c>
      <c r="F7" s="8" t="s">
        <v>46</v>
      </c>
      <c r="G7" s="6" t="s">
        <v>19</v>
      </c>
      <c r="H7" s="6" t="s">
        <v>13</v>
      </c>
      <c r="I7" s="6">
        <f t="shared" si="0"/>
        <v>3</v>
      </c>
      <c r="L7" s="4" t="s">
        <v>40</v>
      </c>
      <c r="M7" s="4">
        <v>6</v>
      </c>
    </row>
    <row r="8" spans="1:13" s="2" customFormat="1" ht="45" x14ac:dyDescent="0.2">
      <c r="A8" s="6" t="s">
        <v>27</v>
      </c>
      <c r="B8" s="6" t="s">
        <v>30</v>
      </c>
      <c r="C8" s="6" t="s">
        <v>25</v>
      </c>
      <c r="D8" s="6" t="s">
        <v>11</v>
      </c>
      <c r="E8" s="6" t="s">
        <v>28</v>
      </c>
      <c r="F8" s="6" t="s">
        <v>31</v>
      </c>
      <c r="G8" s="6" t="s">
        <v>13</v>
      </c>
      <c r="H8" s="6" t="s">
        <v>13</v>
      </c>
      <c r="I8" s="6">
        <f t="shared" si="0"/>
        <v>1</v>
      </c>
      <c r="L8" s="1" t="s">
        <v>41</v>
      </c>
      <c r="M8" s="1">
        <v>7</v>
      </c>
    </row>
    <row r="9" spans="1:13" s="2" customFormat="1" ht="30" x14ac:dyDescent="0.2">
      <c r="A9" s="8" t="s">
        <v>27</v>
      </c>
      <c r="B9" s="8" t="s">
        <v>30</v>
      </c>
      <c r="C9" s="8" t="s">
        <v>27</v>
      </c>
      <c r="D9" s="8" t="s">
        <v>32</v>
      </c>
      <c r="E9" s="8" t="s">
        <v>29</v>
      </c>
      <c r="F9" s="8" t="s">
        <v>33</v>
      </c>
      <c r="G9" s="6" t="s">
        <v>34</v>
      </c>
      <c r="H9" s="6" t="s">
        <v>19</v>
      </c>
      <c r="I9" s="6">
        <f t="shared" si="0"/>
        <v>8</v>
      </c>
      <c r="L9" s="1" t="s">
        <v>42</v>
      </c>
      <c r="M9" s="1">
        <v>8</v>
      </c>
    </row>
    <row r="10" spans="1:13" x14ac:dyDescent="0.25">
      <c r="L10" s="1" t="s">
        <v>43</v>
      </c>
      <c r="M10" s="1">
        <v>9</v>
      </c>
    </row>
  </sheetData>
  <autoFilter ref="A3:I3" xr:uid="{43B3AB7E-74CD-4835-90C1-1C17B2900211}"/>
  <conditionalFormatting sqref="G4:H9">
    <cfRule type="containsText" dxfId="2" priority="1" operator="containsText" text="Baja">
      <formula>NOT(ISERROR(SEARCH("Baja",G4)))</formula>
    </cfRule>
    <cfRule type="containsText" dxfId="1" priority="2" operator="containsText" text="Media">
      <formula>NOT(ISERROR(SEARCH("Media",G4)))</formula>
    </cfRule>
    <cfRule type="containsText" dxfId="0" priority="3" operator="containsText" text="Alta">
      <formula>NOT(ISERROR(SEARCH("Alta",G4)))</formula>
    </cfRule>
    <cfRule type="iconSet" priority="4">
      <iconSet iconSet="3Flags">
        <cfvo type="percent" val="0"/>
        <cfvo type="percent" val="33"/>
        <cfvo type="percent" val="67"/>
      </iconSet>
    </cfRule>
  </conditionalFormatting>
  <conditionalFormatting sqref="I4:I9">
    <cfRule type="colorScale" priority="5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7745-8554-4439-8372-DEAACF22C7E8}">
  <dimension ref="A1:P86"/>
  <sheetViews>
    <sheetView showGridLines="0" tabSelected="1" zoomScale="85" zoomScaleNormal="85" workbookViewId="0">
      <selection activeCell="H19" sqref="H19"/>
    </sheetView>
  </sheetViews>
  <sheetFormatPr baseColWidth="10" defaultRowHeight="15" x14ac:dyDescent="0.25"/>
  <cols>
    <col min="1" max="1" width="9.5703125" customWidth="1"/>
    <col min="2" max="2" width="17.42578125" customWidth="1"/>
    <col min="3" max="3" width="18.140625" customWidth="1"/>
    <col min="4" max="5" width="17.28515625" customWidth="1"/>
    <col min="6" max="6" width="1.42578125" customWidth="1"/>
    <col min="7" max="9" width="22.140625" customWidth="1"/>
    <col min="10" max="10" width="1.7109375" customWidth="1"/>
    <col min="11" max="12" width="22.140625" customWidth="1"/>
    <col min="13" max="13" width="26.85546875" customWidth="1"/>
    <col min="14" max="14" width="1.42578125" customWidth="1"/>
  </cols>
  <sheetData>
    <row r="1" spans="1:16" s="15" customFormat="1" ht="33.75" customHeight="1" x14ac:dyDescent="0.25">
      <c r="A1" s="14" t="s">
        <v>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O1" s="3"/>
      <c r="P1" s="4"/>
    </row>
    <row r="2" spans="1:16" s="27" customFormat="1" ht="12.7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O2" s="28"/>
      <c r="P2" s="29"/>
    </row>
    <row r="3" spans="1:16" x14ac:dyDescent="0.25">
      <c r="A3" s="33" t="s">
        <v>69</v>
      </c>
      <c r="B3" s="30" t="s">
        <v>47</v>
      </c>
      <c r="C3" s="30"/>
      <c r="D3" s="30"/>
      <c r="E3" s="16"/>
      <c r="F3" s="16"/>
      <c r="G3" s="31" t="s">
        <v>51</v>
      </c>
      <c r="H3" s="31"/>
      <c r="I3" s="31"/>
      <c r="J3" s="17"/>
      <c r="K3" s="32" t="s">
        <v>52</v>
      </c>
      <c r="L3" s="32"/>
      <c r="M3" s="32"/>
      <c r="N3" s="9"/>
    </row>
    <row r="4" spans="1:16" s="1" customFormat="1" ht="12" hidden="1" customHeight="1" x14ac:dyDescent="0.2">
      <c r="A4" s="33"/>
      <c r="B4" s="11" t="s">
        <v>60</v>
      </c>
      <c r="C4" s="11" t="s">
        <v>63</v>
      </c>
      <c r="D4" s="11" t="s">
        <v>66</v>
      </c>
      <c r="E4" s="11" t="s">
        <v>83</v>
      </c>
      <c r="F4" s="11"/>
      <c r="G4" s="11" t="s">
        <v>61</v>
      </c>
      <c r="H4" s="11" t="s">
        <v>64</v>
      </c>
      <c r="I4" s="11" t="s">
        <v>67</v>
      </c>
      <c r="J4" s="11"/>
      <c r="K4" s="11" t="s">
        <v>62</v>
      </c>
      <c r="L4" s="11" t="s">
        <v>65</v>
      </c>
      <c r="M4" s="11" t="s">
        <v>68</v>
      </c>
      <c r="N4" s="23"/>
    </row>
    <row r="5" spans="1:16" s="22" customFormat="1" ht="63.75" x14ac:dyDescent="0.25">
      <c r="A5" s="33"/>
      <c r="B5" s="21" t="s">
        <v>48</v>
      </c>
      <c r="C5" s="21" t="s">
        <v>49</v>
      </c>
      <c r="D5" s="21" t="s">
        <v>84</v>
      </c>
      <c r="E5" s="21" t="s">
        <v>79</v>
      </c>
      <c r="F5" s="16"/>
      <c r="G5" s="21" t="s">
        <v>80</v>
      </c>
      <c r="H5" s="21" t="s">
        <v>81</v>
      </c>
      <c r="I5" s="21" t="s">
        <v>82</v>
      </c>
      <c r="J5" s="17"/>
      <c r="K5" s="21" t="s">
        <v>85</v>
      </c>
      <c r="L5" s="21" t="s">
        <v>86</v>
      </c>
      <c r="M5" s="21" t="s">
        <v>87</v>
      </c>
      <c r="N5" s="24"/>
    </row>
    <row r="6" spans="1:16" x14ac:dyDescent="0.25">
      <c r="A6" s="18">
        <v>1</v>
      </c>
      <c r="B6" s="18"/>
      <c r="C6" s="18"/>
      <c r="D6" s="18"/>
      <c r="E6" s="18"/>
      <c r="F6" s="19"/>
      <c r="G6" s="18"/>
      <c r="H6" s="18"/>
      <c r="I6" s="18"/>
      <c r="J6" s="20"/>
      <c r="K6" s="18"/>
      <c r="L6" s="18"/>
      <c r="M6" s="18"/>
      <c r="N6" s="9"/>
    </row>
    <row r="7" spans="1:16" x14ac:dyDescent="0.25">
      <c r="A7" s="25">
        <v>2</v>
      </c>
      <c r="B7" s="25"/>
      <c r="C7" s="25"/>
      <c r="D7" s="25"/>
      <c r="E7" s="25"/>
      <c r="F7" s="19"/>
      <c r="G7" s="25"/>
      <c r="H7" s="25"/>
      <c r="I7" s="25"/>
      <c r="J7" s="20"/>
      <c r="K7" s="25"/>
      <c r="L7" s="25"/>
      <c r="M7" s="25"/>
      <c r="N7" s="9"/>
    </row>
    <row r="8" spans="1:16" x14ac:dyDescent="0.25">
      <c r="A8" s="18">
        <v>3</v>
      </c>
      <c r="B8" s="18"/>
      <c r="C8" s="18"/>
      <c r="D8" s="18"/>
      <c r="E8" s="18"/>
      <c r="F8" s="19"/>
      <c r="G8" s="18"/>
      <c r="H8" s="18"/>
      <c r="I8" s="18"/>
      <c r="J8" s="20"/>
      <c r="K8" s="18"/>
      <c r="L8" s="18"/>
      <c r="M8" s="18"/>
      <c r="N8" s="9"/>
    </row>
    <row r="9" spans="1:16" x14ac:dyDescent="0.25">
      <c r="A9" s="25">
        <v>4</v>
      </c>
      <c r="B9" s="25"/>
      <c r="C9" s="25"/>
      <c r="D9" s="25"/>
      <c r="E9" s="25"/>
      <c r="F9" s="19"/>
      <c r="G9" s="25"/>
      <c r="H9" s="25"/>
      <c r="I9" s="25"/>
      <c r="J9" s="20"/>
      <c r="K9" s="25"/>
      <c r="L9" s="25"/>
      <c r="M9" s="25"/>
      <c r="N9" s="9"/>
    </row>
    <row r="10" spans="1:16" x14ac:dyDescent="0.25">
      <c r="A10" s="18">
        <v>5</v>
      </c>
      <c r="B10" s="18"/>
      <c r="C10" s="18"/>
      <c r="D10" s="18"/>
      <c r="E10" s="18"/>
      <c r="F10" s="19"/>
      <c r="G10" s="18"/>
      <c r="H10" s="18"/>
      <c r="I10" s="18"/>
      <c r="J10" s="20"/>
      <c r="K10" s="18"/>
      <c r="L10" s="18"/>
      <c r="M10" s="18"/>
      <c r="N10" s="9"/>
    </row>
    <row r="11" spans="1:16" x14ac:dyDescent="0.25">
      <c r="A11" s="25">
        <v>6</v>
      </c>
      <c r="B11" s="25"/>
      <c r="C11" s="25"/>
      <c r="D11" s="25"/>
      <c r="E11" s="25"/>
      <c r="F11" s="19"/>
      <c r="G11" s="25"/>
      <c r="H11" s="25"/>
      <c r="I11" s="25"/>
      <c r="J11" s="20"/>
      <c r="K11" s="25"/>
      <c r="L11" s="25"/>
      <c r="M11" s="25"/>
      <c r="N11" s="9"/>
    </row>
    <row r="12" spans="1:16" x14ac:dyDescent="0.25">
      <c r="A12" s="18">
        <v>7</v>
      </c>
      <c r="B12" s="18"/>
      <c r="C12" s="18"/>
      <c r="D12" s="18"/>
      <c r="E12" s="18"/>
      <c r="F12" s="19"/>
      <c r="G12" s="18"/>
      <c r="H12" s="18"/>
      <c r="I12" s="18"/>
      <c r="J12" s="20"/>
      <c r="K12" s="18"/>
      <c r="L12" s="18"/>
      <c r="M12" s="18"/>
      <c r="N12" s="9"/>
    </row>
    <row r="13" spans="1:16" x14ac:dyDescent="0.25">
      <c r="A13" s="25">
        <v>8</v>
      </c>
      <c r="B13" s="25"/>
      <c r="C13" s="25"/>
      <c r="D13" s="25"/>
      <c r="E13" s="25"/>
      <c r="F13" s="19"/>
      <c r="G13" s="25"/>
      <c r="H13" s="25"/>
      <c r="I13" s="25"/>
      <c r="J13" s="20"/>
      <c r="K13" s="25"/>
      <c r="L13" s="25"/>
      <c r="M13" s="25"/>
      <c r="N13" s="9"/>
    </row>
    <row r="14" spans="1:16" x14ac:dyDescent="0.25">
      <c r="A14" s="18">
        <v>9</v>
      </c>
      <c r="B14" s="18"/>
      <c r="C14" s="18"/>
      <c r="D14" s="18"/>
      <c r="E14" s="18"/>
      <c r="F14" s="19"/>
      <c r="G14" s="18"/>
      <c r="H14" s="18"/>
      <c r="I14" s="18"/>
      <c r="J14" s="20"/>
      <c r="K14" s="18"/>
      <c r="L14" s="18"/>
      <c r="M14" s="18"/>
      <c r="N14" s="9"/>
    </row>
    <row r="15" spans="1:16" x14ac:dyDescent="0.25">
      <c r="A15" s="25">
        <v>10</v>
      </c>
      <c r="B15" s="25"/>
      <c r="C15" s="25"/>
      <c r="D15" s="25"/>
      <c r="E15" s="25"/>
      <c r="F15" s="19"/>
      <c r="G15" s="25"/>
      <c r="H15" s="25"/>
      <c r="I15" s="25"/>
      <c r="J15" s="20"/>
      <c r="K15" s="25"/>
      <c r="L15" s="25"/>
      <c r="M15" s="25"/>
      <c r="N15" s="9"/>
    </row>
    <row r="16" spans="1:16" x14ac:dyDescent="0.25">
      <c r="A16" s="18">
        <v>11</v>
      </c>
      <c r="B16" s="18"/>
      <c r="C16" s="18"/>
      <c r="D16" s="18"/>
      <c r="E16" s="18"/>
      <c r="F16" s="19"/>
      <c r="G16" s="18"/>
      <c r="H16" s="18"/>
      <c r="I16" s="18"/>
      <c r="J16" s="20"/>
      <c r="K16" s="18"/>
      <c r="L16" s="18"/>
      <c r="M16" s="18"/>
      <c r="N16" s="9"/>
    </row>
    <row r="17" spans="1:14" x14ac:dyDescent="0.25">
      <c r="A17" s="25">
        <v>12</v>
      </c>
      <c r="B17" s="25"/>
      <c r="C17" s="25"/>
      <c r="D17" s="25"/>
      <c r="E17" s="25"/>
      <c r="F17" s="19"/>
      <c r="G17" s="25"/>
      <c r="H17" s="25"/>
      <c r="I17" s="25"/>
      <c r="J17" s="20"/>
      <c r="K17" s="25"/>
      <c r="L17" s="25"/>
      <c r="M17" s="25"/>
      <c r="N17" s="9"/>
    </row>
    <row r="18" spans="1:1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1:13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spans="1:13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spans="1:13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spans="1:13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spans="1:13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1:13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spans="1:13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1:13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spans="1:13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1:13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spans="1:13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1:13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1:13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</sheetData>
  <autoFilter ref="A5:P5" xr:uid="{83FC7745-8554-4439-8372-DEAACF22C7E8}"/>
  <mergeCells count="4">
    <mergeCell ref="B3:D3"/>
    <mergeCell ref="G3:I3"/>
    <mergeCell ref="K3:M3"/>
    <mergeCell ref="A3:A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Tech</vt:lpstr>
      <vt:lpstr>Etapa 1</vt:lpstr>
      <vt:lpstr>Etapa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Austral</dc:creator>
  <cp:lastModifiedBy>Sebastian Vaccaro</cp:lastModifiedBy>
  <dcterms:created xsi:type="dcterms:W3CDTF">2026-09-11T23:51:56Z</dcterms:created>
  <dcterms:modified xsi:type="dcterms:W3CDTF">2026-09-15T19:21:21Z</dcterms:modified>
</cp:coreProperties>
</file>